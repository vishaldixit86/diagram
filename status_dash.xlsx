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ishal_a_dixit_capgemini_com/Documents/Desktop/"/>
    </mc:Choice>
  </mc:AlternateContent>
  <xr:revisionPtr revIDLastSave="0" documentId="8_{E13CC6FB-C82F-48B7-B57E-50F9F3B9116A}" xr6:coauthVersionLast="47" xr6:coauthVersionMax="47" xr10:uidLastSave="{00000000-0000-0000-0000-000000000000}"/>
  <bookViews>
    <workbookView xWindow="-110" yWindow="-110" windowWidth="19420" windowHeight="11500" activeTab="1" xr2:uid="{BD8AA609-B20F-4370-AC45-4072FE4D22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 s="1"/>
  <c r="H6" i="1" s="1"/>
  <c r="L9" i="1"/>
  <c r="L8" i="1"/>
  <c r="K10" i="1"/>
  <c r="K9" i="1"/>
  <c r="D3" i="1"/>
  <c r="J13" i="1" l="1"/>
  <c r="J14" i="1" s="1"/>
  <c r="G7" i="1"/>
  <c r="G8" i="1" s="1"/>
  <c r="G9" i="1" s="1"/>
  <c r="G10" i="1" s="1"/>
  <c r="H7" i="1"/>
  <c r="H8" i="1" l="1"/>
  <c r="H9" i="1" s="1"/>
  <c r="H10" i="1" s="1"/>
  <c r="H11" i="1" s="1"/>
</calcChain>
</file>

<file path=xl/sharedStrings.xml><?xml version="1.0" encoding="utf-8"?>
<sst xmlns="http://schemas.openxmlformats.org/spreadsheetml/2006/main" count="173" uniqueCount="140">
  <si>
    <t>Phase</t>
  </si>
  <si>
    <t>Task ID</t>
  </si>
  <si>
    <t>Task Description</t>
  </si>
  <si>
    <t>Sub-Task Details</t>
  </si>
  <si>
    <t>Output / Deliverable</t>
  </si>
  <si>
    <t>Phase 1 – Data Intake &amp; Assessment</t>
  </si>
  <si>
    <t>Identify all manual IAM data sources</t>
  </si>
  <si>
    <t>HR headcount, IAM extracts, AD groups, app access, shared drives</t>
  </si>
  <si>
    <t>Source inventory list</t>
  </si>
  <si>
    <t>Collect HR headcount data</t>
  </si>
  <si>
    <t>BRID, employee ID, cost center, department, role</t>
  </si>
  <si>
    <t>HR master dataset</t>
  </si>
  <si>
    <t>Collect manual application access data</t>
  </si>
  <si>
    <t>User–app–permission extracts</t>
  </si>
  <si>
    <t>Raw app access files</t>
  </si>
  <si>
    <t>Collect AD group membership data</t>
  </si>
  <si>
    <t>User–AD group mappings</t>
  </si>
  <si>
    <t>Raw AD group files</t>
  </si>
  <si>
    <t>Collect shared drive access data</t>
  </si>
  <si>
    <t>User–drive path mappings</t>
  </si>
  <si>
    <t>Raw shared drive files</t>
  </si>
  <si>
    <t>Perform initial data quality checks</t>
  </si>
  <si>
    <t>Missing IDs, duplicates, format issues</t>
  </si>
  <si>
    <t>Data quality report</t>
  </si>
  <si>
    <t>Standardize identifiers</t>
  </si>
  <si>
    <t>Normalize BRID, employee ID, cost center</t>
  </si>
  <si>
    <t>Cleaned baseline dataset</t>
  </si>
  <si>
    <t>Phase 2 – Persona &amp; Cost Center Foundation</t>
  </si>
  <si>
    <t>Identify persona sources</t>
  </si>
  <si>
    <t>RBAC definitions, SME inputs, policy documents</t>
  </si>
  <si>
    <t>Persona source catalog</t>
  </si>
  <si>
    <t>Define persona taxonomy</t>
  </si>
  <si>
    <t>Persona name, description, risk tier</t>
  </si>
  <si>
    <t>Persona master list</t>
  </si>
  <si>
    <t>Map personas to cost centers</t>
  </si>
  <si>
    <t>One-to-many persona–cost center relationships</t>
  </si>
  <si>
    <t>Persona–Cost Center mapping table</t>
  </si>
  <si>
    <t>Define persona-based app entitlements</t>
  </si>
  <si>
    <t>Expected apps and permissions per persona</t>
  </si>
  <si>
    <t>Persona app entitlement matrix</t>
  </si>
  <si>
    <t>Define persona-based AD group entitlements</t>
  </si>
  <si>
    <t>Expected AD groups per persona</t>
  </si>
  <si>
    <t>Persona AD group matrix</t>
  </si>
  <si>
    <t>Define persona-based shared drive access</t>
  </si>
  <si>
    <t>Expected drive paths per persona</t>
  </si>
  <si>
    <t>Persona shared drive matrix</t>
  </si>
  <si>
    <t>Document exception handling rules</t>
  </si>
  <si>
    <t>Temporary access, dual roles, overrides</t>
  </si>
  <si>
    <t>Exception handling rules</t>
  </si>
  <si>
    <t>Phase 3 – IAM Automation Enablement</t>
  </si>
  <si>
    <t>Design automated IAM ingestion architecture</t>
  </si>
  <si>
    <t>Data flow from IAM → AWS</t>
  </si>
  <si>
    <t>Solution architecture diagram</t>
  </si>
  <si>
    <t>Configure automated IAM data extraction</t>
  </si>
  <si>
    <t>Scheduled jobs / APIs</t>
  </si>
  <si>
    <t>Automated IAM feeds</t>
  </si>
  <si>
    <t>Land raw IAM data into AWS S3</t>
  </si>
  <si>
    <t>Partitioned raw data storage</t>
  </si>
  <si>
    <t>S3 raw data buckets</t>
  </si>
  <si>
    <t>Transform and normalize IAM data</t>
  </si>
  <si>
    <t>Clean, deduplicate, standardize</t>
  </si>
  <si>
    <t>Processed IAM datasets</t>
  </si>
  <si>
    <t>Implement logging and audit trail</t>
  </si>
  <si>
    <t>Ingestion timestamps, record counts</t>
  </si>
  <si>
    <t>Audit logs</t>
  </si>
  <si>
    <t>Phase 4 – Application Permission Analytics</t>
  </si>
  <si>
    <t>Design app permission comparison logic</t>
  </si>
  <si>
    <t>Should-Have vs Does-Have rules</t>
  </si>
  <si>
    <t>Comparison logic document</t>
  </si>
  <si>
    <t>Normalize application and permission names</t>
  </si>
  <si>
    <t>Case, synonyms, duplicates</t>
  </si>
  <si>
    <t>Normalized app-permission mappings</t>
  </si>
  <si>
    <t>Develop app permission comparison script</t>
  </si>
  <si>
    <t>Persona vs actual permissions</t>
  </si>
  <si>
    <t>Comparison output dataset</t>
  </si>
  <si>
    <t>Generate horizontal app access view</t>
  </si>
  <si>
    <t>User/persona/app summary</t>
  </si>
  <si>
    <t>App summary table</t>
  </si>
  <si>
    <t>Generate vertical app access view</t>
  </si>
  <si>
    <t>Permission-level mismatch details</t>
  </si>
  <si>
    <t>App detailed table</t>
  </si>
  <si>
    <t>Flag missing and excess permissions</t>
  </si>
  <si>
    <t>Policy and risk alignment</t>
  </si>
  <si>
    <t>Permission deviation indicators</t>
  </si>
  <si>
    <t>Phase 5 – AD Group Analytics</t>
  </si>
  <si>
    <t>Design AD group normalization strategy</t>
  </si>
  <si>
    <t>Group naming, nesting rules</t>
  </si>
  <si>
    <t>AD normalization logic</t>
  </si>
  <si>
    <t>Develop AD group comparison script</t>
  </si>
  <si>
    <t>Expected vs actual group membership</t>
  </si>
  <si>
    <t>AD group comparison dataset</t>
  </si>
  <si>
    <t>Identify excess and missing AD groups</t>
  </si>
  <si>
    <t>Privilege escalation risks</t>
  </si>
  <si>
    <t>AD risk indicators</t>
  </si>
  <si>
    <t>Phase 6 – Shared Drive Analytics</t>
  </si>
  <si>
    <t>Define shared drive normalization rules</t>
  </si>
  <si>
    <t>Path formatting, slash handling</t>
  </si>
  <si>
    <t>Path normalization rules</t>
  </si>
  <si>
    <t>Develop shared drive comparison script</t>
  </si>
  <si>
    <t>Persona vs actual drive access</t>
  </si>
  <si>
    <t>Shared drive comparison dataset</t>
  </si>
  <si>
    <t>Identify overexposed shared drives</t>
  </si>
  <si>
    <t>Data leakage risks</t>
  </si>
  <si>
    <t>Shared drive risk indicators</t>
  </si>
  <si>
    <t>Phase 7 – Data Consolidation &amp; Risk Scoring</t>
  </si>
  <si>
    <t>Merge app, AD, and shared drive outputs</t>
  </si>
  <si>
    <t>Unified entitlement view</t>
  </si>
  <si>
    <t>Consolidated IAM dataset</t>
  </si>
  <si>
    <t>Join HR, persona, and cost center data</t>
  </si>
  <si>
    <t>Organizational context enriched dataset</t>
  </si>
  <si>
    <t>Enriched IAM dataset</t>
  </si>
  <si>
    <t>Compute access deviation metrics</t>
  </si>
  <si>
    <t>Missing, excess, critical access</t>
  </si>
  <si>
    <t>Deviation metrics</t>
  </si>
  <si>
    <t>Derive risk and compliance scores</t>
  </si>
  <si>
    <t>Persona deviation and policy risk</t>
  </si>
  <si>
    <t>Risk score dataset</t>
  </si>
  <si>
    <t>Phase 8 – AWS &amp; Tableau Deployment</t>
  </si>
  <si>
    <t>Prepare Tableau-ready data models</t>
  </si>
  <si>
    <t>Fact and dimension tables</t>
  </si>
  <si>
    <t>Tableau data model</t>
  </si>
  <si>
    <t>Publish curated datasets to AWS</t>
  </si>
  <si>
    <t>S3 / Redshift deployment</t>
  </si>
  <si>
    <t>AWS production datasets</t>
  </si>
  <si>
    <t>Develop Tableau dashboards</t>
  </si>
  <si>
    <t>Executive, audit, operational views</t>
  </si>
  <si>
    <t>Tableau dashboards</t>
  </si>
  <si>
    <t>Configure refresh schedules and access</t>
  </si>
  <si>
    <t>RBAC, refresh cadence</t>
  </si>
  <si>
    <t>Automated Tableau refresh</t>
  </si>
  <si>
    <t>Phase 9 – Automation &amp; Governance</t>
  </si>
  <si>
    <t>Schedule end-to-end pipeline</t>
  </si>
  <si>
    <t>Automated ingestion to reporting</t>
  </si>
  <si>
    <t>Scheduled pipeline</t>
  </si>
  <si>
    <t>Implement data quality monitoring</t>
  </si>
  <si>
    <t>Volume, drift, anomalies</t>
  </si>
  <si>
    <t>Data quality dashboards</t>
  </si>
  <si>
    <t>Enable audit and compliance reporting</t>
  </si>
  <si>
    <t>Evidence-ready outputs</t>
  </si>
  <si>
    <t>Audit-ready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</si>
</sst>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7" fontId="0" fillId="0" borderId="0" xfId="1" applyNumberFormat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B1E6-A55C-46BD-B0D0-1C81F55A5E58}">
  <dimension ref="D3:L14"/>
  <sheetViews>
    <sheetView workbookViewId="0">
      <selection activeCell="G6" sqref="G6"/>
    </sheetView>
  </sheetViews>
  <sheetFormatPr defaultRowHeight="14.5" x14ac:dyDescent="0.35"/>
  <sheetData>
    <row r="3" spans="4:12" x14ac:dyDescent="0.35">
      <c r="D3" s="1">
        <f>29261/152810</f>
        <v>0.19148615928276946</v>
      </c>
    </row>
    <row r="4" spans="4:12" x14ac:dyDescent="0.35">
      <c r="G4" s="2">
        <v>152810</v>
      </c>
    </row>
    <row r="5" spans="4:12" x14ac:dyDescent="0.35">
      <c r="G5">
        <f>G4*3%</f>
        <v>4584.3</v>
      </c>
    </row>
    <row r="6" spans="4:12" x14ac:dyDescent="0.35">
      <c r="G6" s="2">
        <f>G4+G5</f>
        <v>157394.29999999999</v>
      </c>
      <c r="H6">
        <f>G6*6%</f>
        <v>9443.6579999999994</v>
      </c>
    </row>
    <row r="7" spans="4:12" x14ac:dyDescent="0.35">
      <c r="G7">
        <f>G6*22%</f>
        <v>34626.745999999999</v>
      </c>
      <c r="H7" s="2">
        <f>G6-H6</f>
        <v>147950.64199999999</v>
      </c>
    </row>
    <row r="8" spans="4:12" x14ac:dyDescent="0.35">
      <c r="G8" s="2">
        <f>G6-G7</f>
        <v>122767.55399999999</v>
      </c>
      <c r="H8">
        <f>H7*22%</f>
        <v>32549.141239999997</v>
      </c>
      <c r="K8">
        <v>29216</v>
      </c>
      <c r="L8">
        <f>K8*80%</f>
        <v>23372.800000000003</v>
      </c>
    </row>
    <row r="9" spans="4:12" x14ac:dyDescent="0.35">
      <c r="G9">
        <f>G8/12</f>
        <v>10230.629499999999</v>
      </c>
      <c r="H9" s="2">
        <f>H7-H8</f>
        <v>115401.50076</v>
      </c>
      <c r="K9">
        <f>K8*30%</f>
        <v>8764.7999999999993</v>
      </c>
      <c r="L9">
        <f>L8*70%</f>
        <v>16360.960000000001</v>
      </c>
    </row>
    <row r="10" spans="4:12" x14ac:dyDescent="0.35">
      <c r="G10">
        <f>G9</f>
        <v>10230.629499999999</v>
      </c>
      <c r="H10">
        <f>H9/12</f>
        <v>9616.791729999999</v>
      </c>
      <c r="K10">
        <f>K8-K9</f>
        <v>20451.2</v>
      </c>
    </row>
    <row r="11" spans="4:12" x14ac:dyDescent="0.35">
      <c r="H11">
        <f>H10/2</f>
        <v>4808.3958649999995</v>
      </c>
    </row>
    <row r="13" spans="4:12" x14ac:dyDescent="0.35">
      <c r="J13">
        <f>G6*20%</f>
        <v>31478.86</v>
      </c>
    </row>
    <row r="14" spans="4:12" x14ac:dyDescent="0.35">
      <c r="J14" s="2">
        <f>G6+J13</f>
        <v>188873.15999999997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8883-0CEC-4387-9719-814D0E8BDCF9}">
  <dimension ref="A1:E43"/>
  <sheetViews>
    <sheetView tabSelected="1" topLeftCell="C1" workbookViewId="0">
      <selection activeCell="F11" sqref="F11"/>
    </sheetView>
  </sheetViews>
  <sheetFormatPr defaultRowHeight="14.5" x14ac:dyDescent="0.35"/>
  <cols>
    <col min="1" max="1" width="38.08984375" customWidth="1"/>
    <col min="2" max="2" width="10.7265625" customWidth="1"/>
    <col min="3" max="3" width="58.1796875" customWidth="1"/>
    <col min="4" max="4" width="58.81640625" customWidth="1"/>
    <col min="6" max="6" width="2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1.1000000000000001</v>
      </c>
      <c r="C2" t="s">
        <v>6</v>
      </c>
      <c r="D2" t="s">
        <v>7</v>
      </c>
      <c r="E2" t="s">
        <v>8</v>
      </c>
    </row>
    <row r="3" spans="1:5" x14ac:dyDescent="0.35">
      <c r="A3" t="s">
        <v>5</v>
      </c>
      <c r="B3">
        <v>1.2</v>
      </c>
      <c r="C3" t="s">
        <v>9</v>
      </c>
      <c r="D3" t="s">
        <v>10</v>
      </c>
      <c r="E3" t="s">
        <v>11</v>
      </c>
    </row>
    <row r="4" spans="1:5" x14ac:dyDescent="0.35">
      <c r="A4" t="s">
        <v>5</v>
      </c>
      <c r="B4">
        <v>1.3</v>
      </c>
      <c r="C4" t="s">
        <v>12</v>
      </c>
      <c r="D4" t="s">
        <v>13</v>
      </c>
      <c r="E4" t="s">
        <v>14</v>
      </c>
    </row>
    <row r="5" spans="1:5" x14ac:dyDescent="0.35">
      <c r="A5" t="s">
        <v>5</v>
      </c>
      <c r="B5">
        <v>1.4</v>
      </c>
      <c r="C5" t="s">
        <v>15</v>
      </c>
      <c r="D5" t="s">
        <v>16</v>
      </c>
      <c r="E5" t="s">
        <v>17</v>
      </c>
    </row>
    <row r="6" spans="1:5" x14ac:dyDescent="0.35">
      <c r="A6" t="s">
        <v>5</v>
      </c>
      <c r="B6">
        <v>1.5</v>
      </c>
      <c r="C6" t="s">
        <v>18</v>
      </c>
      <c r="D6" t="s">
        <v>19</v>
      </c>
      <c r="E6" t="s">
        <v>20</v>
      </c>
    </row>
    <row r="7" spans="1:5" x14ac:dyDescent="0.35">
      <c r="A7" t="s">
        <v>5</v>
      </c>
      <c r="B7">
        <v>1.6</v>
      </c>
      <c r="C7" t="s">
        <v>21</v>
      </c>
      <c r="D7" t="s">
        <v>22</v>
      </c>
      <c r="E7" t="s">
        <v>23</v>
      </c>
    </row>
    <row r="8" spans="1:5" x14ac:dyDescent="0.35">
      <c r="A8" t="s">
        <v>5</v>
      </c>
      <c r="B8">
        <v>1.7</v>
      </c>
      <c r="C8" t="s">
        <v>24</v>
      </c>
      <c r="D8" t="s">
        <v>25</v>
      </c>
      <c r="E8" t="s">
        <v>26</v>
      </c>
    </row>
    <row r="9" spans="1:5" x14ac:dyDescent="0.35">
      <c r="A9" t="s">
        <v>27</v>
      </c>
      <c r="B9">
        <v>2.1</v>
      </c>
      <c r="C9" t="s">
        <v>28</v>
      </c>
      <c r="D9" t="s">
        <v>29</v>
      </c>
      <c r="E9" t="s">
        <v>30</v>
      </c>
    </row>
    <row r="10" spans="1:5" x14ac:dyDescent="0.35">
      <c r="A10" t="s">
        <v>27</v>
      </c>
      <c r="B10">
        <v>2.2000000000000002</v>
      </c>
      <c r="C10" t="s">
        <v>31</v>
      </c>
      <c r="D10" t="s">
        <v>32</v>
      </c>
      <c r="E10" t="s">
        <v>33</v>
      </c>
    </row>
    <row r="11" spans="1:5" x14ac:dyDescent="0.35">
      <c r="A11" t="s">
        <v>27</v>
      </c>
      <c r="B11">
        <v>2.2999999999999998</v>
      </c>
      <c r="C11" t="s">
        <v>34</v>
      </c>
      <c r="D11" t="s">
        <v>35</v>
      </c>
      <c r="E11" t="s">
        <v>36</v>
      </c>
    </row>
    <row r="12" spans="1:5" x14ac:dyDescent="0.35">
      <c r="A12" t="s">
        <v>27</v>
      </c>
      <c r="B12">
        <v>2.4</v>
      </c>
      <c r="C12" t="s">
        <v>37</v>
      </c>
      <c r="D12" t="s">
        <v>38</v>
      </c>
      <c r="E12" t="s">
        <v>39</v>
      </c>
    </row>
    <row r="13" spans="1:5" x14ac:dyDescent="0.35">
      <c r="A13" t="s">
        <v>27</v>
      </c>
      <c r="B13">
        <v>2.5</v>
      </c>
      <c r="C13" t="s">
        <v>40</v>
      </c>
      <c r="D13" t="s">
        <v>41</v>
      </c>
      <c r="E13" t="s">
        <v>42</v>
      </c>
    </row>
    <row r="14" spans="1:5" x14ac:dyDescent="0.35">
      <c r="A14" t="s">
        <v>27</v>
      </c>
      <c r="B14">
        <v>2.6</v>
      </c>
      <c r="C14" t="s">
        <v>43</v>
      </c>
      <c r="D14" t="s">
        <v>44</v>
      </c>
      <c r="E14" t="s">
        <v>45</v>
      </c>
    </row>
    <row r="15" spans="1:5" x14ac:dyDescent="0.35">
      <c r="A15" t="s">
        <v>27</v>
      </c>
      <c r="B15">
        <v>2.7</v>
      </c>
      <c r="C15" t="s">
        <v>46</v>
      </c>
      <c r="D15" t="s">
        <v>47</v>
      </c>
      <c r="E15" t="s">
        <v>48</v>
      </c>
    </row>
    <row r="16" spans="1:5" x14ac:dyDescent="0.35">
      <c r="A16" t="s">
        <v>49</v>
      </c>
      <c r="B16">
        <v>3.1</v>
      </c>
      <c r="C16" t="s">
        <v>50</v>
      </c>
      <c r="D16" t="s">
        <v>51</v>
      </c>
      <c r="E16" t="s">
        <v>52</v>
      </c>
    </row>
    <row r="17" spans="1:5" x14ac:dyDescent="0.35">
      <c r="A17" t="s">
        <v>49</v>
      </c>
      <c r="B17">
        <v>3.2</v>
      </c>
      <c r="C17" t="s">
        <v>53</v>
      </c>
      <c r="D17" t="s">
        <v>54</v>
      </c>
      <c r="E17" t="s">
        <v>55</v>
      </c>
    </row>
    <row r="18" spans="1:5" x14ac:dyDescent="0.35">
      <c r="A18" t="s">
        <v>49</v>
      </c>
      <c r="B18">
        <v>3.3</v>
      </c>
      <c r="C18" t="s">
        <v>56</v>
      </c>
      <c r="D18" t="s">
        <v>57</v>
      </c>
      <c r="E18" t="s">
        <v>58</v>
      </c>
    </row>
    <row r="19" spans="1:5" x14ac:dyDescent="0.35">
      <c r="A19" t="s">
        <v>49</v>
      </c>
      <c r="B19">
        <v>3.4</v>
      </c>
      <c r="C19" t="s">
        <v>59</v>
      </c>
      <c r="D19" t="s">
        <v>60</v>
      </c>
      <c r="E19" t="s">
        <v>61</v>
      </c>
    </row>
    <row r="20" spans="1:5" x14ac:dyDescent="0.35">
      <c r="A20" t="s">
        <v>49</v>
      </c>
      <c r="B20">
        <v>3.5</v>
      </c>
      <c r="C20" t="s">
        <v>62</v>
      </c>
      <c r="D20" t="s">
        <v>63</v>
      </c>
      <c r="E20" t="s">
        <v>64</v>
      </c>
    </row>
    <row r="21" spans="1:5" x14ac:dyDescent="0.35">
      <c r="A21" t="s">
        <v>65</v>
      </c>
      <c r="B21">
        <v>4.0999999999999996</v>
      </c>
      <c r="C21" t="s">
        <v>66</v>
      </c>
      <c r="D21" t="s">
        <v>67</v>
      </c>
      <c r="E21" t="s">
        <v>68</v>
      </c>
    </row>
    <row r="22" spans="1:5" x14ac:dyDescent="0.35">
      <c r="A22" t="s">
        <v>65</v>
      </c>
      <c r="B22">
        <v>4.2</v>
      </c>
      <c r="C22" t="s">
        <v>69</v>
      </c>
      <c r="D22" t="s">
        <v>70</v>
      </c>
      <c r="E22" t="s">
        <v>71</v>
      </c>
    </row>
    <row r="23" spans="1:5" x14ac:dyDescent="0.35">
      <c r="A23" t="s">
        <v>65</v>
      </c>
      <c r="B23">
        <v>4.3</v>
      </c>
      <c r="C23" t="s">
        <v>72</v>
      </c>
      <c r="D23" t="s">
        <v>73</v>
      </c>
      <c r="E23" t="s">
        <v>74</v>
      </c>
    </row>
    <row r="24" spans="1:5" x14ac:dyDescent="0.35">
      <c r="A24" t="s">
        <v>65</v>
      </c>
      <c r="B24">
        <v>4.4000000000000004</v>
      </c>
      <c r="C24" t="s">
        <v>75</v>
      </c>
      <c r="D24" t="s">
        <v>76</v>
      </c>
      <c r="E24" t="s">
        <v>77</v>
      </c>
    </row>
    <row r="25" spans="1:5" x14ac:dyDescent="0.35">
      <c r="A25" t="s">
        <v>65</v>
      </c>
      <c r="B25">
        <v>4.5</v>
      </c>
      <c r="C25" t="s">
        <v>78</v>
      </c>
      <c r="D25" t="s">
        <v>79</v>
      </c>
      <c r="E25" t="s">
        <v>80</v>
      </c>
    </row>
    <row r="26" spans="1:5" x14ac:dyDescent="0.35">
      <c r="A26" t="s">
        <v>65</v>
      </c>
      <c r="B26">
        <v>4.5999999999999996</v>
      </c>
      <c r="C26" t="s">
        <v>81</v>
      </c>
      <c r="D26" t="s">
        <v>82</v>
      </c>
      <c r="E26" t="s">
        <v>83</v>
      </c>
    </row>
    <row r="27" spans="1:5" x14ac:dyDescent="0.35">
      <c r="A27" t="s">
        <v>84</v>
      </c>
      <c r="B27">
        <v>5.0999999999999996</v>
      </c>
      <c r="C27" t="s">
        <v>85</v>
      </c>
      <c r="D27" t="s">
        <v>86</v>
      </c>
      <c r="E27" t="s">
        <v>87</v>
      </c>
    </row>
    <row r="28" spans="1:5" x14ac:dyDescent="0.35">
      <c r="A28" t="s">
        <v>84</v>
      </c>
      <c r="B28">
        <v>5.2</v>
      </c>
      <c r="C28" t="s">
        <v>88</v>
      </c>
      <c r="D28" t="s">
        <v>89</v>
      </c>
      <c r="E28" t="s">
        <v>90</v>
      </c>
    </row>
    <row r="29" spans="1:5" x14ac:dyDescent="0.35">
      <c r="A29" t="s">
        <v>84</v>
      </c>
      <c r="B29">
        <v>5.3</v>
      </c>
      <c r="C29" t="s">
        <v>91</v>
      </c>
      <c r="D29" t="s">
        <v>92</v>
      </c>
      <c r="E29" t="s">
        <v>93</v>
      </c>
    </row>
    <row r="30" spans="1:5" x14ac:dyDescent="0.35">
      <c r="A30" t="s">
        <v>94</v>
      </c>
      <c r="B30">
        <v>6.1</v>
      </c>
      <c r="C30" t="s">
        <v>95</v>
      </c>
      <c r="D30" t="s">
        <v>96</v>
      </c>
      <c r="E30" t="s">
        <v>97</v>
      </c>
    </row>
    <row r="31" spans="1:5" x14ac:dyDescent="0.35">
      <c r="A31" t="s">
        <v>94</v>
      </c>
      <c r="B31">
        <v>6.2</v>
      </c>
      <c r="C31" t="s">
        <v>98</v>
      </c>
      <c r="D31" t="s">
        <v>99</v>
      </c>
      <c r="E31" t="s">
        <v>100</v>
      </c>
    </row>
    <row r="32" spans="1:5" x14ac:dyDescent="0.35">
      <c r="A32" t="s">
        <v>94</v>
      </c>
      <c r="B32">
        <v>6.3</v>
      </c>
      <c r="C32" t="s">
        <v>101</v>
      </c>
      <c r="D32" t="s">
        <v>102</v>
      </c>
      <c r="E32" t="s">
        <v>103</v>
      </c>
    </row>
    <row r="33" spans="1:5" x14ac:dyDescent="0.35">
      <c r="A33" t="s">
        <v>104</v>
      </c>
      <c r="B33">
        <v>7.1</v>
      </c>
      <c r="C33" t="s">
        <v>105</v>
      </c>
      <c r="D33" t="s">
        <v>106</v>
      </c>
      <c r="E33" t="s">
        <v>107</v>
      </c>
    </row>
    <row r="34" spans="1:5" x14ac:dyDescent="0.35">
      <c r="A34" t="s">
        <v>104</v>
      </c>
      <c r="B34">
        <v>7.2</v>
      </c>
      <c r="C34" t="s">
        <v>108</v>
      </c>
      <c r="D34" t="s">
        <v>109</v>
      </c>
      <c r="E34" t="s">
        <v>110</v>
      </c>
    </row>
    <row r="35" spans="1:5" x14ac:dyDescent="0.35">
      <c r="A35" t="s">
        <v>104</v>
      </c>
      <c r="B35">
        <v>7.3</v>
      </c>
      <c r="C35" t="s">
        <v>111</v>
      </c>
      <c r="D35" t="s">
        <v>112</v>
      </c>
      <c r="E35" t="s">
        <v>113</v>
      </c>
    </row>
    <row r="36" spans="1:5" x14ac:dyDescent="0.35">
      <c r="A36" t="s">
        <v>104</v>
      </c>
      <c r="B36">
        <v>7.4</v>
      </c>
      <c r="C36" t="s">
        <v>114</v>
      </c>
      <c r="D36" t="s">
        <v>115</v>
      </c>
      <c r="E36" t="s">
        <v>116</v>
      </c>
    </row>
    <row r="37" spans="1:5" x14ac:dyDescent="0.35">
      <c r="A37" t="s">
        <v>117</v>
      </c>
      <c r="B37">
        <v>8.1</v>
      </c>
      <c r="C37" t="s">
        <v>118</v>
      </c>
      <c r="D37" t="s">
        <v>119</v>
      </c>
      <c r="E37" t="s">
        <v>120</v>
      </c>
    </row>
    <row r="38" spans="1:5" x14ac:dyDescent="0.35">
      <c r="A38" t="s">
        <v>117</v>
      </c>
      <c r="B38">
        <v>8.1999999999999993</v>
      </c>
      <c r="C38" t="s">
        <v>121</v>
      </c>
      <c r="D38" t="s">
        <v>122</v>
      </c>
      <c r="E38" t="s">
        <v>123</v>
      </c>
    </row>
    <row r="39" spans="1:5" x14ac:dyDescent="0.35">
      <c r="A39" t="s">
        <v>117</v>
      </c>
      <c r="B39">
        <v>8.3000000000000007</v>
      </c>
      <c r="C39" t="s">
        <v>124</v>
      </c>
      <c r="D39" t="s">
        <v>125</v>
      </c>
      <c r="E39" t="s">
        <v>126</v>
      </c>
    </row>
    <row r="40" spans="1:5" x14ac:dyDescent="0.35">
      <c r="A40" t="s">
        <v>117</v>
      </c>
      <c r="B40">
        <v>8.4</v>
      </c>
      <c r="C40" t="s">
        <v>127</v>
      </c>
      <c r="D40" t="s">
        <v>128</v>
      </c>
      <c r="E40" t="s">
        <v>129</v>
      </c>
    </row>
    <row r="41" spans="1:5" x14ac:dyDescent="0.35">
      <c r="A41" t="s">
        <v>130</v>
      </c>
      <c r="B41">
        <v>9.1</v>
      </c>
      <c r="C41" t="s">
        <v>131</v>
      </c>
      <c r="D41" t="s">
        <v>132</v>
      </c>
      <c r="E41" t="s">
        <v>133</v>
      </c>
    </row>
    <row r="42" spans="1:5" x14ac:dyDescent="0.35">
      <c r="A42" t="s">
        <v>130</v>
      </c>
      <c r="B42">
        <v>9.1999999999999993</v>
      </c>
      <c r="C42" t="s">
        <v>134</v>
      </c>
      <c r="D42" t="s">
        <v>135</v>
      </c>
      <c r="E42" t="s">
        <v>136</v>
      </c>
    </row>
    <row r="43" spans="1:5" x14ac:dyDescent="0.35">
      <c r="A43" t="s">
        <v>130</v>
      </c>
      <c r="B43">
        <v>9.3000000000000007</v>
      </c>
      <c r="C43" t="s">
        <v>137</v>
      </c>
      <c r="D43" t="s">
        <v>138</v>
      </c>
      <c r="E43" t="s">
        <v>139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Dixit, Vishal</dc:creator>
  <cp:lastModifiedBy>Dixit, Vishal</cp:lastModifiedBy>
  <dcterms:created xsi:type="dcterms:W3CDTF">2026-01-28T19:17:20Z</dcterms:created>
  <dcterms:modified xsi:type="dcterms:W3CDTF">2026-01-29T16:00:53Z</dcterms:modified>
</cp:coreProperties>
</file>